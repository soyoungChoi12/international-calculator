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ei\Desktop\참고\해외여비계산기\"/>
    </mc:Choice>
  </mc:AlternateContent>
  <bookViews>
    <workbookView xWindow="0" yWindow="0" windowWidth="22992" windowHeight="9444" tabRatio="926"/>
  </bookViews>
  <sheets>
    <sheet name="국외여비지급내역서(이한주 전임)" sheetId="17" r:id="rId1"/>
    <sheet name="드롭다운(국외)" sheetId="10" r:id="rId2"/>
  </sheets>
  <calcPr calcId="152511" concurrentCalc="0"/>
</workbook>
</file>

<file path=xl/calcChain.xml><?xml version="1.0" encoding="utf-8"?>
<calcChain xmlns="http://schemas.openxmlformats.org/spreadsheetml/2006/main">
  <c r="I11" i="17" l="1"/>
  <c r="K11" i="17"/>
  <c r="L11" i="17"/>
  <c r="K13" i="17"/>
  <c r="L13" i="17"/>
  <c r="L26" i="17"/>
  <c r="I19" i="17"/>
  <c r="I18" i="17"/>
  <c r="I17" i="17"/>
  <c r="I16" i="17"/>
  <c r="I15" i="17"/>
  <c r="I14" i="17"/>
  <c r="I12" i="17"/>
  <c r="K12" i="17"/>
  <c r="L12" i="17"/>
  <c r="C18" i="17"/>
  <c r="K15" i="17"/>
  <c r="L15" i="17"/>
  <c r="M15" i="17"/>
  <c r="H28" i="17"/>
  <c r="K16" i="17"/>
  <c r="L16" i="17"/>
  <c r="M16" i="17"/>
  <c r="K18" i="17"/>
  <c r="L18" i="17"/>
  <c r="M18" i="17"/>
  <c r="H29" i="17"/>
  <c r="K19" i="17"/>
  <c r="L19" i="17"/>
  <c r="M19" i="17"/>
  <c r="K14" i="17"/>
  <c r="L14" i="17"/>
  <c r="M14" i="17"/>
  <c r="K17" i="17"/>
  <c r="L17" i="17"/>
  <c r="M17" i="17"/>
  <c r="K26" i="17"/>
  <c r="C19" i="17"/>
  <c r="K28" i="17"/>
  <c r="J28" i="17"/>
  <c r="K29" i="17"/>
  <c r="J29" i="17"/>
  <c r="L20" i="17"/>
  <c r="K27" i="17"/>
  <c r="J27" i="17"/>
  <c r="M20" i="17"/>
  <c r="C20" i="17"/>
</calcChain>
</file>

<file path=xl/comments1.xml><?xml version="1.0" encoding="utf-8"?>
<comments xmlns="http://schemas.openxmlformats.org/spreadsheetml/2006/main">
  <authors>
    <author>user</author>
  </authors>
  <commentList>
    <comment ref="M4" authorId="0" shapeId="0">
      <text>
        <r>
          <rPr>
            <sz val="9"/>
            <color indexed="81"/>
            <rFont val="돋움"/>
            <family val="3"/>
            <charset val="129"/>
          </rPr>
          <t>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상신일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M5" authorId="0" shapeId="0">
      <text>
        <r>
          <rPr>
            <sz val="9"/>
            <color indexed="81"/>
            <rFont val="돋움"/>
            <family val="3"/>
            <charset val="129"/>
          </rPr>
          <t>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상신일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G6" authorId="0" shapeId="0">
      <text>
        <r>
          <rPr>
            <b/>
            <sz val="10"/>
            <color indexed="81"/>
            <rFont val="나눔고딕"/>
            <family val="3"/>
            <charset val="129"/>
          </rPr>
          <t>드롭다운(국외)탭에서 국가 및 도시 확인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일비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숙박비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달러로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않음
</t>
        </r>
      </text>
    </comment>
  </commentList>
</comments>
</file>

<file path=xl/sharedStrings.xml><?xml version="1.0" encoding="utf-8"?>
<sst xmlns="http://schemas.openxmlformats.org/spreadsheetml/2006/main" count="202" uniqueCount="124">
  <si>
    <t>항공운임</t>
  </si>
  <si>
    <t>센터장</t>
  </si>
  <si>
    <t>실비</t>
  </si>
  <si>
    <t>출장비 정리</t>
    <phoneticPr fontId="12" type="noConversion"/>
  </si>
  <si>
    <t>기준환율</t>
    <phoneticPr fontId="12" type="noConversion"/>
  </si>
  <si>
    <t>구 분</t>
  </si>
  <si>
    <t>금 액</t>
  </si>
  <si>
    <t>지급</t>
    <phoneticPr fontId="12" type="noConversion"/>
  </si>
  <si>
    <t>비 고</t>
    <phoneticPr fontId="12" type="noConversion"/>
  </si>
  <si>
    <t>지역등급</t>
    <phoneticPr fontId="12" type="noConversion"/>
  </si>
  <si>
    <t>구분</t>
    <phoneticPr fontId="12" type="noConversion"/>
  </si>
  <si>
    <t>기준($)</t>
    <phoneticPr fontId="12" type="noConversion"/>
  </si>
  <si>
    <t>일수</t>
    <phoneticPr fontId="12" type="noConversion"/>
  </si>
  <si>
    <t>일 비</t>
  </si>
  <si>
    <t>일비</t>
    <phoneticPr fontId="12" type="noConversion"/>
  </si>
  <si>
    <t>숙박비</t>
  </si>
  <si>
    <t>숙박비</t>
    <phoneticPr fontId="12" type="noConversion"/>
  </si>
  <si>
    <t>식비</t>
    <phoneticPr fontId="12" type="noConversion"/>
  </si>
  <si>
    <t>일비</t>
    <phoneticPr fontId="12" type="noConversion"/>
  </si>
  <si>
    <t>숙박비</t>
    <phoneticPr fontId="12" type="noConversion"/>
  </si>
  <si>
    <t>합 계</t>
  </si>
  <si>
    <t xml:space="preserve">  </t>
  </si>
  <si>
    <t>예산항목</t>
  </si>
  <si>
    <t>다</t>
    <phoneticPr fontId="12" type="noConversion"/>
  </si>
  <si>
    <t>일비</t>
    <phoneticPr fontId="12" type="noConversion"/>
  </si>
  <si>
    <t>지급처별 출장비 정리</t>
    <phoneticPr fontId="12" type="noConversion"/>
  </si>
  <si>
    <t>라</t>
    <phoneticPr fontId="12" type="noConversion"/>
  </si>
  <si>
    <t>비고</t>
    <phoneticPr fontId="12" type="noConversion"/>
  </si>
  <si>
    <t>합계</t>
    <phoneticPr fontId="12" type="noConversion"/>
  </si>
  <si>
    <t>합계</t>
    <phoneticPr fontId="12" type="noConversion"/>
  </si>
  <si>
    <t>&lt;숙박비 상한액 초과 여부 확인&gt;</t>
    <phoneticPr fontId="12" type="noConversion"/>
  </si>
  <si>
    <t>상한액(원화)</t>
    <phoneticPr fontId="12" type="noConversion"/>
  </si>
  <si>
    <t>실지출액(원화)</t>
    <phoneticPr fontId="12" type="noConversion"/>
  </si>
  <si>
    <t>차액</t>
    <phoneticPr fontId="12" type="noConversion"/>
  </si>
  <si>
    <t>나</t>
    <phoneticPr fontId="12" type="noConversion"/>
  </si>
  <si>
    <t>라</t>
    <phoneticPr fontId="12" type="noConversion"/>
  </si>
  <si>
    <t>국외여비 지급내역서</t>
    <phoneticPr fontId="3" type="noConversion"/>
  </si>
  <si>
    <t>등 급</t>
  </si>
  <si>
    <t>식 비</t>
  </si>
  <si>
    <t>준비금</t>
  </si>
  <si>
    <t>가</t>
  </si>
  <si>
    <t>실비(상한액: 282)</t>
  </si>
  <si>
    <t>Business Class</t>
  </si>
  <si>
    <t>나</t>
  </si>
  <si>
    <t>실비(상한액: 207)</t>
  </si>
  <si>
    <t>다</t>
  </si>
  <si>
    <t>실비(상한액: 162)</t>
  </si>
  <si>
    <t>라</t>
  </si>
  <si>
    <t>실비(상한액: 108)</t>
  </si>
  <si>
    <t>본부장</t>
  </si>
  <si>
    <t>실비(상한액: 176)</t>
  </si>
  <si>
    <t>Economy Class</t>
  </si>
  <si>
    <t>실비(상한액: 137)</t>
  </si>
  <si>
    <t>실비(상한액: 106)</t>
  </si>
  <si>
    <t>실비(상한액: 81)</t>
  </si>
  <si>
    <t>실비(상한액: 155)</t>
  </si>
  <si>
    <t>실비(상한액: 123)</t>
  </si>
  <si>
    <t>실비(상한액: 90)</t>
  </si>
  <si>
    <t>실비(상한액: 77)</t>
  </si>
  <si>
    <t>센터장</t>
    <phoneticPr fontId="3" type="noConversion"/>
  </si>
  <si>
    <t>본부장</t>
    <phoneticPr fontId="3" type="noConversion"/>
  </si>
  <si>
    <t>그외직원(팀장및팀원)</t>
  </si>
  <si>
    <t>준비금</t>
    <phoneticPr fontId="12" type="noConversion"/>
  </si>
  <si>
    <t>항공료</t>
    <phoneticPr fontId="12" type="noConversion"/>
  </si>
  <si>
    <t>그외직원(팀장및팀원)</t>
    <phoneticPr fontId="3" type="noConversion"/>
  </si>
  <si>
    <t>구분</t>
    <phoneticPr fontId="3" type="noConversion"/>
  </si>
  <si>
    <t>지급</t>
    <phoneticPr fontId="3" type="noConversion"/>
  </si>
  <si>
    <t>법인카드 결제</t>
  </si>
  <si>
    <t>법인카드 결제</t>
    <phoneticPr fontId="3" type="noConversion"/>
  </si>
  <si>
    <t>개인지급(계좌이체)</t>
  </si>
  <si>
    <t>개인지급(계좌이체)</t>
    <phoneticPr fontId="3" type="noConversion"/>
  </si>
  <si>
    <t>법인카드 결제</t>
    <phoneticPr fontId="12" type="noConversion"/>
  </si>
  <si>
    <t>개인지급(계좌이체)</t>
    <phoneticPr fontId="12" type="noConversion"/>
  </si>
  <si>
    <t>나</t>
    <phoneticPr fontId="12" type="noConversion"/>
  </si>
  <si>
    <t>*환율조회사이트</t>
    <phoneticPr fontId="12" type="noConversion"/>
  </si>
  <si>
    <t>달러금액($)</t>
    <phoneticPr fontId="12" type="noConversion"/>
  </si>
  <si>
    <t>원화금액</t>
    <phoneticPr fontId="12" type="noConversion"/>
  </si>
  <si>
    <t>원화금액(원단위 절사)</t>
    <phoneticPr fontId="12" type="noConversion"/>
  </si>
  <si>
    <t>숙박비 상한액</t>
    <phoneticPr fontId="12" type="noConversion"/>
  </si>
  <si>
    <t>숙박비 최종정산액</t>
    <phoneticPr fontId="12" type="noConversion"/>
  </si>
  <si>
    <t>일비</t>
    <phoneticPr fontId="3" type="noConversion"/>
  </si>
  <si>
    <t>센터장</t>
    <phoneticPr fontId="3" type="noConversion"/>
  </si>
  <si>
    <t>본부장</t>
    <phoneticPr fontId="3" type="noConversion"/>
  </si>
  <si>
    <t>숙박비</t>
    <phoneticPr fontId="3" type="noConversion"/>
  </si>
  <si>
    <t>등 급</t>
    <phoneticPr fontId="3" type="noConversion"/>
  </si>
  <si>
    <t>센터장</t>
    <phoneticPr fontId="3" type="noConversion"/>
  </si>
  <si>
    <t>그외직원(팀장및팀원)</t>
    <phoneticPr fontId="3" type="noConversion"/>
  </si>
  <si>
    <t>가</t>
    <phoneticPr fontId="3" type="noConversion"/>
  </si>
  <si>
    <t>나</t>
    <phoneticPr fontId="3" type="noConversion"/>
  </si>
  <si>
    <t>다</t>
    <phoneticPr fontId="3" type="noConversion"/>
  </si>
  <si>
    <t>라</t>
    <phoneticPr fontId="3" type="noConversion"/>
  </si>
  <si>
    <t>가</t>
    <phoneticPr fontId="3" type="noConversion"/>
  </si>
  <si>
    <t>나</t>
    <phoneticPr fontId="3" type="noConversion"/>
  </si>
  <si>
    <t>다</t>
    <phoneticPr fontId="3" type="noConversion"/>
  </si>
  <si>
    <t>식 비</t>
    <phoneticPr fontId="3" type="noConversion"/>
  </si>
  <si>
    <t>등 급</t>
    <phoneticPr fontId="3" type="noConversion"/>
  </si>
  <si>
    <t>(단위 : 미화/달러)</t>
  </si>
  <si>
    <t>국외출장 여비 지급표</t>
    <phoneticPr fontId="3" type="noConversion"/>
  </si>
  <si>
    <t>국가 및 도시</t>
  </si>
  <si>
    <t>도쿄, 뉴욕, 런던, 로스엔젤레스, 모스크바, 센프란시스코, 워싱턴 D.C., 파리,</t>
  </si>
  <si>
    <t>홍콩, 제네바, 싱가포르</t>
  </si>
  <si>
    <t xml:space="preserve">1) 아시아주·오세아니아주: 베이징, 사모아, 오스트레일리아, 인도, 일본, 카자흐스탄, 쿡제도, 타이완, 파푸아뉴기니 </t>
  </si>
  <si>
    <t>2) 남·북아메리카주: 멕시코, 미국, 바베이도스, 세인트루시아, 세인트빈센트그레나딘, 세인트키츠네비스, 아이티, 앤티가바부다, 자메이카, 캐나다, 트리니다드토바고</t>
  </si>
  <si>
    <t>3) 유럽주: 그리스, 네덜란드, 노르웨이, 덴마크, 독일, 러시아, 룩셈부르크, 벨기에, 사이프러스, 스웨덴, 스위스, 스페인, 아이슬란드, 아일랜드, 영국, 오스트리아, 이탈리아, 포르투갈, 프랑스, 핀란드, 헝가리</t>
  </si>
  <si>
    <t>4) 중동·아프리카주: 가나, 가봉, 남수단, 남아프리카공화국, 리비아, 모로코, 바레인, 사우디아라비아, 세이셸, 아랍에미리트, 앙골라, 에티오피아, 오만, 우간다, 이스라엘, 이집트, 적도기니, 카타르, 코트디부아르, 콩고민주공화국, 쿠웨이트</t>
  </si>
  <si>
    <t>1) 아시아주·오세아니아주: 뉴질랜드, 니우에, 마셜군도, 말레이시아, 방글라데시, 브루나이, 아제르바이잔, 인도네시아, 중국, 키르기즈공화국, 타이, 터키, 투르크메니스탄, 파키스탄, 피지</t>
  </si>
  <si>
    <t>2) 남·북아메리카주: 가이아나, 과테말라, 도미니카공화국, 베네수엘라, 벨리즈, 브라질, 아르헨티나, 에콰도르, 우루과이, 칠레, 코스타리카, 파나마</t>
  </si>
  <si>
    <t>3) 유럽주: 라트비아, 루마니아, 리투아니아, 몬테네그로, 불가리아, 세르비아, 슬로바키아, 슬로베니아, 에스토니아, 우크라이나, 체코, 크로아티아, 폴란드</t>
  </si>
  <si>
    <t>4) 중동·아프리카주: 기니, 나이지리아, 니제르, 라이베리아, 레바논, 르완다, 말리, 모리셔스, 모잠비크, 보츠와나, 부르키나파소, 상투메프린시페, 세네갈, 수단, 스와질란드, 시에라리온, 아프가니스탄, 알제리, 요르단, 이라크, 잠비아, 중앙아프리카공화국, 카메룬, 케냐, 탄자니아</t>
  </si>
  <si>
    <t>1) 아시아주·오세아니아주: 네팔, 동티모르, 라오스, 몽골, 미얀마, 미크로네시아, 베트남, 스리랑카, 우즈베키스탄, 캄보디아, 타지키스탄, 통가, 필리핀</t>
  </si>
  <si>
    <t>2) 남·북아메리카주: 니카라과, 볼리비아, 수리남, 엘살바도르, 온두라스, 콜롬비아, 파라과이, 페루</t>
  </si>
  <si>
    <t xml:space="preserve">3) 유럽주: 마케도니아, 몰도바, 벨라루스, 보스니아헤르체코비나, 알바니아, </t>
  </si>
  <si>
    <t>4) 중동·아프리카주: 감비아, 기니비사우, 나미비아, 레소토, 마다가스카르, 말라위, 모리타니, 소말리아, 예멘, 이란, 짐바브웨, 튀니지</t>
  </si>
  <si>
    <t>※ 국가 및 도시별 등급구분에 없는 국가는 여행 또는 근무예정지에서 국가의 수도까지의 거리가 가장 가까운 국가의 등급을 적용한다.</t>
    <phoneticPr fontId="3" type="noConversion"/>
  </si>
  <si>
    <t>국가 및 도시별 등급 구분</t>
    <phoneticPr fontId="3" type="noConversion"/>
  </si>
  <si>
    <t>&lt;대상 선택</t>
    <phoneticPr fontId="12" type="noConversion"/>
  </si>
  <si>
    <t>가</t>
    <phoneticPr fontId="12" type="noConversion"/>
  </si>
  <si>
    <t>항공권 + 수수료</t>
    <phoneticPr fontId="3" type="noConversion"/>
  </si>
  <si>
    <t>보험</t>
    <phoneticPr fontId="3" type="noConversion"/>
  </si>
  <si>
    <t>USD</t>
    <phoneticPr fontId="3" type="noConversion"/>
  </si>
  <si>
    <t>현재환율 &lt; 환율/외화예금 금리 &lt; 상품 &lt; 하나은행</t>
  </si>
  <si>
    <t>※ 기준액을 원화로 환산시 출장신청서 결재일 하나은행 외환(살때)을 기준으로 함</t>
    <phoneticPr fontId="12" type="noConversion"/>
  </si>
  <si>
    <t>도비-국외여비</t>
    <phoneticPr fontId="3" type="noConversion"/>
  </si>
  <si>
    <t>매매기준(00.00.00)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</si>
</sst>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0.0"/>
  </numFmts>
  <fonts count="24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0"/>
      <name val="돋움"/>
      <family val="3"/>
      <charset val="129"/>
    </font>
    <font>
      <b/>
      <sz val="10"/>
      <color indexed="81"/>
      <name val="나눔고딕"/>
      <family val="3"/>
      <charset val="129"/>
    </font>
    <font>
      <i/>
      <sz val="12"/>
      <color theme="0" tint="-0.499984740745262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i/>
      <sz val="12"/>
      <color theme="0" tint="-0.499984740745262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i/>
      <sz val="12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9">
    <xf numFmtId="0" fontId="0" fillId="0" borderId="0">
      <alignment vertical="center"/>
    </xf>
    <xf numFmtId="41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/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</cellStyleXfs>
  <cellXfs count="128">
    <xf numFmtId="0" fontId="0" fillId="0" borderId="0" xfId="0" applyNumberFormat="1">
      <alignment vertical="center"/>
    </xf>
    <xf numFmtId="41" fontId="5" fillId="0" borderId="0" xfId="1" applyFont="1">
      <alignment vertical="center"/>
    </xf>
    <xf numFmtId="41" fontId="5" fillId="0" borderId="1" xfId="1" applyFont="1" applyBorder="1">
      <alignment vertical="center"/>
    </xf>
    <xf numFmtId="41" fontId="5" fillId="2" borderId="1" xfId="1" applyFont="1" applyFill="1" applyBorder="1">
      <alignment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0" fontId="5" fillId="0" borderId="15" xfId="0" applyFont="1" applyBorder="1" applyAlignment="1">
      <alignment horizontal="center" vertical="center" wrapText="1"/>
    </xf>
    <xf numFmtId="41" fontId="5" fillId="0" borderId="15" xfId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justify" vertical="center" wrapText="1"/>
    </xf>
    <xf numFmtId="41" fontId="13" fillId="0" borderId="15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41" fontId="5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1" fontId="13" fillId="0" borderId="1" xfId="1" applyFont="1" applyBorder="1" applyAlignment="1">
      <alignment horizontal="center" vertical="center" wrapText="1"/>
    </xf>
    <xf numFmtId="0" fontId="5" fillId="0" borderId="0" xfId="0" applyNumberFormat="1" applyFont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4" fontId="5" fillId="0" borderId="14" xfId="0" applyNumberFormat="1" applyFont="1" applyBorder="1">
      <alignment vertical="center"/>
    </xf>
    <xf numFmtId="0" fontId="14" fillId="5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14" fillId="0" borderId="0" xfId="0" applyFont="1" applyBorder="1" applyAlignment="1">
      <alignment horizontal="center" vertical="center"/>
    </xf>
    <xf numFmtId="41" fontId="5" fillId="0" borderId="1" xfId="1" applyNumberFormat="1" applyFont="1" applyBorder="1">
      <alignment vertical="center"/>
    </xf>
    <xf numFmtId="176" fontId="5" fillId="0" borderId="0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41" fontId="13" fillId="0" borderId="0" xfId="1" applyFont="1">
      <alignment vertical="center"/>
    </xf>
    <xf numFmtId="0" fontId="14" fillId="7" borderId="1" xfId="0" applyFont="1" applyFill="1" applyBorder="1">
      <alignment vertical="center"/>
    </xf>
    <xf numFmtId="176" fontId="14" fillId="7" borderId="1" xfId="0" applyNumberFormat="1" applyFont="1" applyFill="1" applyBorder="1">
      <alignment vertical="center"/>
    </xf>
    <xf numFmtId="41" fontId="14" fillId="7" borderId="1" xfId="0" applyNumberFormat="1" applyFont="1" applyFill="1" applyBorder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77" fontId="14" fillId="0" borderId="11" xfId="0" applyNumberFormat="1" applyFont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1" fontId="13" fillId="0" borderId="1" xfId="1" applyFont="1" applyBorder="1">
      <alignment vertical="center"/>
    </xf>
    <xf numFmtId="41" fontId="13" fillId="0" borderId="13" xfId="0" applyNumberFormat="1" applyFont="1" applyBorder="1">
      <alignment vertical="center"/>
    </xf>
    <xf numFmtId="41" fontId="13" fillId="0" borderId="21" xfId="0" applyNumberFormat="1" applyFont="1" applyBorder="1">
      <alignment vertical="center"/>
    </xf>
    <xf numFmtId="0" fontId="13" fillId="0" borderId="21" xfId="0" applyFont="1" applyBorder="1">
      <alignment vertical="center"/>
    </xf>
    <xf numFmtId="0" fontId="13" fillId="0" borderId="6" xfId="0" applyFont="1" applyBorder="1" applyAlignment="1">
      <alignment horizontal="center" vertical="center"/>
    </xf>
    <xf numFmtId="41" fontId="13" fillId="0" borderId="7" xfId="1" applyFont="1" applyBorder="1">
      <alignment vertical="center"/>
    </xf>
    <xf numFmtId="41" fontId="13" fillId="0" borderId="8" xfId="0" applyNumberFormat="1" applyFont="1" applyBorder="1">
      <alignment vertical="center"/>
    </xf>
    <xf numFmtId="0" fontId="13" fillId="0" borderId="22" xfId="0" applyFont="1" applyBorder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5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4" fillId="9" borderId="1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41" fontId="4" fillId="5" borderId="15" xfId="1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justify" vertical="center" wrapText="1"/>
    </xf>
    <xf numFmtId="0" fontId="7" fillId="0" borderId="23" xfId="0" applyNumberFormat="1" applyFont="1" applyBorder="1" applyAlignment="1">
      <alignment horizontal="center" vertical="center" wrapText="1"/>
    </xf>
    <xf numFmtId="0" fontId="7" fillId="0" borderId="25" xfId="0" applyNumberFormat="1" applyFont="1" applyBorder="1" applyAlignment="1">
      <alignment horizontal="center" vertical="center" wrapText="1"/>
    </xf>
    <xf numFmtId="0" fontId="5" fillId="0" borderId="23" xfId="0" applyNumberFormat="1" applyFont="1" applyBorder="1" applyAlignment="1">
      <alignment horizontal="center" vertical="center" wrapText="1"/>
    </xf>
    <xf numFmtId="0" fontId="5" fillId="0" borderId="24" xfId="0" applyNumberFormat="1" applyFont="1" applyBorder="1" applyAlignment="1">
      <alignment horizontal="center" vertical="center" wrapText="1"/>
    </xf>
    <xf numFmtId="0" fontId="5" fillId="0" borderId="25" xfId="0" applyNumberFormat="1" applyFont="1" applyBorder="1" applyAlignment="1">
      <alignment horizontal="center" vertical="center" wrapText="1"/>
    </xf>
    <xf numFmtId="0" fontId="5" fillId="0" borderId="29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40" xfId="0" applyNumberFormat="1" applyFont="1" applyBorder="1" applyAlignment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/>
    </xf>
    <xf numFmtId="0" fontId="11" fillId="0" borderId="15" xfId="0" applyFont="1" applyBorder="1" applyAlignment="1">
      <alignment horizontal="justify" vertical="center" wrapText="1"/>
    </xf>
    <xf numFmtId="0" fontId="11" fillId="0" borderId="0" xfId="0" applyFont="1">
      <alignment vertical="center"/>
    </xf>
    <xf numFmtId="0" fontId="9" fillId="0" borderId="0" xfId="2" applyNumberFormat="1">
      <alignment vertical="center"/>
    </xf>
    <xf numFmtId="176" fontId="5" fillId="2" borderId="0" xfId="0" applyNumberFormat="1" applyFont="1" applyFill="1" applyBorder="1">
      <alignment vertical="center"/>
    </xf>
    <xf numFmtId="0" fontId="14" fillId="10" borderId="0" xfId="0" applyFont="1" applyFill="1" applyAlignment="1">
      <alignment horizontal="center" vertical="center"/>
    </xf>
    <xf numFmtId="0" fontId="5" fillId="0" borderId="1" xfId="0" applyNumberFormat="1" applyFont="1" applyBorder="1">
      <alignment vertical="center"/>
    </xf>
    <xf numFmtId="0" fontId="7" fillId="0" borderId="33" xfId="0" applyNumberFormat="1" applyFont="1" applyBorder="1" applyAlignment="1">
      <alignment horizontal="justify" vertical="center" wrapText="1"/>
    </xf>
    <xf numFmtId="0" fontId="7" fillId="0" borderId="35" xfId="0" applyNumberFormat="1" applyFont="1" applyBorder="1" applyAlignment="1">
      <alignment horizontal="justify" vertical="center" wrapText="1"/>
    </xf>
    <xf numFmtId="0" fontId="7" fillId="0" borderId="37" xfId="0" applyNumberFormat="1" applyFont="1" applyBorder="1" applyAlignment="1">
      <alignment horizontal="justify" vertical="center" wrapText="1"/>
    </xf>
    <xf numFmtId="0" fontId="7" fillId="0" borderId="34" xfId="0" applyNumberFormat="1" applyFont="1" applyBorder="1" applyAlignment="1">
      <alignment horizontal="justify" vertical="center" wrapText="1"/>
    </xf>
    <xf numFmtId="0" fontId="7" fillId="0" borderId="38" xfId="0" applyNumberFormat="1" applyFont="1" applyBorder="1" applyAlignment="1">
      <alignment horizontal="justify" vertical="center" wrapText="1"/>
    </xf>
    <xf numFmtId="0" fontId="4" fillId="3" borderId="1" xfId="0" applyNumberFormat="1" applyFont="1" applyFill="1" applyBorder="1" applyAlignment="1" applyProtection="1">
      <alignment horizontal="left"/>
    </xf>
    <xf numFmtId="0" fontId="5" fillId="0" borderId="1" xfId="0" applyFont="1" applyBorder="1" applyAlignment="1">
      <alignment horizontal="center" vertical="center"/>
    </xf>
    <xf numFmtId="41" fontId="4" fillId="9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1" xfId="0" applyNumberFormat="1" applyFont="1" applyBorder="1" applyAlignment="1">
      <alignment vertical="center"/>
    </xf>
    <xf numFmtId="0" fontId="23" fillId="0" borderId="15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0" borderId="2" xfId="0" applyFont="1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41" fontId="4" fillId="9" borderId="1" xfId="1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41" fontId="5" fillId="0" borderId="3" xfId="1" applyFont="1" applyBorder="1" applyAlignment="1">
      <alignment horizontal="center" vertical="center" wrapText="1"/>
    </xf>
    <xf numFmtId="41" fontId="5" fillId="0" borderId="4" xfId="1" applyFont="1" applyBorder="1" applyAlignment="1">
      <alignment horizontal="center" vertical="center" wrapText="1"/>
    </xf>
    <xf numFmtId="41" fontId="21" fillId="0" borderId="3" xfId="1" applyFont="1" applyBorder="1" applyAlignment="1">
      <alignment horizontal="center" vertical="center" wrapText="1"/>
    </xf>
    <xf numFmtId="41" fontId="21" fillId="0" borderId="4" xfId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41" xfId="0" applyNumberFormat="1" applyFont="1" applyBorder="1" applyAlignment="1">
      <alignment horizontal="right" vertical="center"/>
    </xf>
    <xf numFmtId="0" fontId="7" fillId="0" borderId="42" xfId="0" applyNumberFormat="1" applyFont="1" applyBorder="1" applyAlignment="1">
      <alignment horizontal="left" vertical="center" wrapText="1"/>
    </xf>
    <xf numFmtId="0" fontId="7" fillId="0" borderId="42" xfId="0" applyNumberFormat="1" applyFont="1" applyBorder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5" fillId="0" borderId="36" xfId="0" applyNumberFormat="1" applyFont="1" applyBorder="1" applyAlignment="1">
      <alignment horizontal="center" vertical="center" wrapText="1"/>
    </xf>
    <xf numFmtId="0" fontId="5" fillId="0" borderId="27" xfId="0" applyNumberFormat="1" applyFont="1" applyBorder="1" applyAlignment="1">
      <alignment horizontal="center" vertical="center" wrapText="1"/>
    </xf>
    <xf numFmtId="0" fontId="5" fillId="0" borderId="39" xfId="0" applyNumberFormat="1" applyFont="1" applyBorder="1" applyAlignment="1">
      <alignment horizontal="center" vertical="center" wrapText="1"/>
    </xf>
    <xf numFmtId="0" fontId="7" fillId="0" borderId="26" xfId="0" applyNumberFormat="1" applyFont="1" applyBorder="1" applyAlignment="1">
      <alignment horizontal="center" vertical="center" wrapText="1"/>
    </xf>
    <xf numFmtId="0" fontId="7" fillId="0" borderId="28" xfId="0" applyNumberFormat="1" applyFont="1" applyBorder="1" applyAlignment="1">
      <alignment horizontal="center" vertical="center" wrapText="1"/>
    </xf>
    <xf numFmtId="0" fontId="7" fillId="0" borderId="36" xfId="0" applyNumberFormat="1" applyFont="1" applyBorder="1" applyAlignment="1">
      <alignment horizontal="center" vertical="center" wrapText="1"/>
    </xf>
    <xf numFmtId="0" fontId="7" fillId="0" borderId="27" xfId="0" applyNumberFormat="1" applyFont="1" applyBorder="1" applyAlignment="1">
      <alignment horizontal="center" vertical="center" wrapText="1"/>
    </xf>
    <xf numFmtId="0" fontId="7" fillId="0" borderId="39" xfId="0" applyNumberFormat="1" applyFont="1" applyBorder="1" applyAlignment="1">
      <alignment horizontal="center" vertical="center" wrapText="1"/>
    </xf>
    <xf numFmtId="0" fontId="5" fillId="0" borderId="26" xfId="0" applyNumberFormat="1" applyFont="1" applyBorder="1" applyAlignment="1">
      <alignment horizontal="center" vertical="center" wrapText="1"/>
    </xf>
    <xf numFmtId="0" fontId="5" fillId="0" borderId="28" xfId="0" applyNumberFormat="1" applyFont="1" applyBorder="1" applyAlignment="1">
      <alignment horizontal="center" vertical="center" wrapText="1"/>
    </xf>
    <xf numFmtId="0" fontId="5" fillId="0" borderId="30" xfId="0" applyNumberFormat="1" applyFont="1" applyBorder="1" applyAlignment="1">
      <alignment horizontal="center" vertical="center" wrapText="1"/>
    </xf>
    <xf numFmtId="0" fontId="5" fillId="0" borderId="31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0" borderId="32" xfId="0" applyNumberFormat="1" applyFont="1" applyBorder="1" applyAlignment="1">
      <alignment horizontal="center" vertical="center" wrapText="1"/>
    </xf>
    <xf numFmtId="0" fontId="5" fillId="0" borderId="33" xfId="0" applyNumberFormat="1" applyFont="1" applyBorder="1" applyAlignment="1">
      <alignment horizontal="center" vertical="center" wrapText="1"/>
    </xf>
    <xf numFmtId="0" fontId="5" fillId="0" borderId="34" xfId="0" applyNumberFormat="1" applyFont="1" applyBorder="1" applyAlignment="1">
      <alignment horizontal="center" vertical="center" wrapText="1"/>
    </xf>
    <xf numFmtId="0" fontId="5" fillId="0" borderId="35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37" xfId="0" applyNumberFormat="1" applyFont="1" applyBorder="1" applyAlignment="1">
      <alignment horizontal="center" vertical="center" wrapText="1"/>
    </xf>
    <xf numFmtId="0" fontId="5" fillId="0" borderId="38" xfId="0" applyNumberFormat="1" applyFont="1" applyBorder="1" applyAlignment="1">
      <alignment horizontal="center" vertical="center" wrapText="1"/>
    </xf>
  </cellXfs>
  <cellStyles count="9">
    <cellStyle name="쉼표 [0]" xfId="1" builtinId="6"/>
    <cellStyle name="쉼표 [0] 2" xfId="6"/>
    <cellStyle name="쉼표 [0] 2 2" xfId="8"/>
    <cellStyle name="쉼표 [0] 3" xfId="7"/>
    <cellStyle name="쉼표 [0] 4" xfId="4"/>
    <cellStyle name="표준" xfId="0" builtinId="0"/>
    <cellStyle name="표준 2" xfId="5"/>
    <cellStyle name="표준 3" xfId="3"/>
    <cellStyle name="하이퍼링크" xfId="2" builtinId="8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CC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ebhana.com/cont/mall/mall15/mall1501/index.jsp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B1:T32"/>
  <sheetViews>
    <sheetView tabSelected="1" topLeftCell="A4" zoomScale="85" zoomScaleNormal="85" workbookViewId="0">
      <selection activeCell="C9" sqref="C9"/>
    </sheetView>
  </sheetViews>
  <sheetFormatPr defaultColWidth="8" defaultRowHeight="17.399999999999999"/>
  <cols>
    <col min="1" max="1" width="8" style="4"/>
    <col min="2" max="2" width="22.19921875" style="4" bestFit="1" customWidth="1"/>
    <col min="3" max="3" width="12.796875" style="4" customWidth="1"/>
    <col min="4" max="4" width="20.3984375" style="4" bestFit="1" customWidth="1"/>
    <col min="5" max="5" width="41.59765625" style="4" customWidth="1"/>
    <col min="6" max="6" width="4.19921875" style="4" customWidth="1"/>
    <col min="7" max="7" width="8.296875" style="4" bestFit="1" customWidth="1"/>
    <col min="8" max="8" width="13.3984375" style="4" bestFit="1" customWidth="1"/>
    <col min="9" max="9" width="13.19921875" style="4" customWidth="1"/>
    <col min="10" max="10" width="12.3984375" style="4" bestFit="1" customWidth="1"/>
    <col min="11" max="11" width="19.09765625" style="4" customWidth="1"/>
    <col min="12" max="12" width="16.8984375" style="4" customWidth="1"/>
    <col min="13" max="13" width="19.796875" style="4" bestFit="1" customWidth="1"/>
    <col min="14" max="14" width="13.796875" style="4" customWidth="1"/>
    <col min="15" max="15" width="6.296875" style="4" bestFit="1" customWidth="1"/>
    <col min="16" max="16" width="10.8984375" style="4" bestFit="1" customWidth="1"/>
    <col min="17" max="18" width="8" style="4"/>
    <col min="19" max="19" width="9.09765625" style="4" bestFit="1" customWidth="1"/>
    <col min="20" max="16384" width="8" style="4"/>
  </cols>
  <sheetData>
    <row r="1" spans="2:20" s="5" customFormat="1" ht="33">
      <c r="B1" s="102" t="s">
        <v>36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43"/>
      <c r="O1" s="43"/>
      <c r="P1" s="43"/>
    </row>
    <row r="2" spans="2:20" s="5" customFormat="1" ht="19.2">
      <c r="B2" s="66" t="s">
        <v>61</v>
      </c>
      <c r="C2" s="77" t="s">
        <v>115</v>
      </c>
      <c r="D2" s="17"/>
      <c r="E2" s="17"/>
      <c r="F2" s="17"/>
      <c r="G2" s="17"/>
      <c r="H2" s="17"/>
      <c r="I2" s="18"/>
      <c r="J2" s="18"/>
      <c r="K2" s="18"/>
      <c r="L2" s="18"/>
      <c r="M2" s="18"/>
      <c r="N2" s="17"/>
      <c r="O2" s="17"/>
      <c r="P2" s="17"/>
    </row>
    <row r="3" spans="2:20" s="5" customFormat="1" ht="19.8" thickBot="1">
      <c r="B3" s="90" t="s">
        <v>3</v>
      </c>
      <c r="C3" s="90"/>
      <c r="D3" s="90"/>
      <c r="G3" s="18"/>
      <c r="H3" s="18"/>
      <c r="I3" s="103" t="s">
        <v>74</v>
      </c>
      <c r="J3" s="103"/>
      <c r="K3" s="64" t="s">
        <v>120</v>
      </c>
      <c r="L3" s="17" t="s">
        <v>4</v>
      </c>
      <c r="M3" s="63" t="s">
        <v>121</v>
      </c>
      <c r="N3" s="18"/>
      <c r="O3" s="18"/>
      <c r="P3" s="18"/>
    </row>
    <row r="4" spans="2:20" s="5" customFormat="1" ht="19.8" thickBot="1">
      <c r="G4" s="18"/>
      <c r="H4" s="18"/>
      <c r="I4" s="18"/>
      <c r="J4" s="18"/>
      <c r="K4" s="18" t="s">
        <v>119</v>
      </c>
      <c r="L4" s="19"/>
      <c r="M4" s="79" t="s">
        <v>123</v>
      </c>
      <c r="N4" s="18"/>
      <c r="O4" s="18"/>
      <c r="P4" s="18"/>
    </row>
    <row r="5" spans="2:20" s="5" customFormat="1" ht="20.100000000000001" customHeight="1">
      <c r="B5" s="47" t="s">
        <v>5</v>
      </c>
      <c r="C5" s="47" t="s">
        <v>6</v>
      </c>
      <c r="D5" s="47" t="s">
        <v>7</v>
      </c>
      <c r="E5" s="47" t="s">
        <v>8</v>
      </c>
      <c r="G5" s="18"/>
      <c r="H5" s="18"/>
      <c r="I5" s="18"/>
      <c r="J5" s="18"/>
      <c r="K5" s="18"/>
      <c r="L5" s="18"/>
      <c r="M5" s="79"/>
      <c r="N5" s="18"/>
      <c r="O5" s="18"/>
      <c r="P5" s="18"/>
    </row>
    <row r="6" spans="2:20" s="5" customFormat="1" ht="20.100000000000001" customHeight="1">
      <c r="B6" s="6" t="s">
        <v>63</v>
      </c>
      <c r="C6" s="7"/>
      <c r="D6" s="7" t="s">
        <v>67</v>
      </c>
      <c r="E6" s="62" t="s">
        <v>117</v>
      </c>
      <c r="G6" s="48" t="s">
        <v>9</v>
      </c>
      <c r="H6" s="48" t="s">
        <v>10</v>
      </c>
      <c r="I6" s="48" t="s">
        <v>11</v>
      </c>
      <c r="J6" s="48" t="s">
        <v>12</v>
      </c>
      <c r="K6" s="48" t="s">
        <v>75</v>
      </c>
      <c r="L6" s="48" t="s">
        <v>76</v>
      </c>
      <c r="M6" s="48" t="s">
        <v>77</v>
      </c>
      <c r="N6" s="18"/>
      <c r="O6" s="18"/>
      <c r="P6" s="18"/>
    </row>
    <row r="7" spans="2:20" s="5" customFormat="1" ht="19.2">
      <c r="B7" s="6" t="s">
        <v>18</v>
      </c>
      <c r="C7" s="9"/>
      <c r="D7" s="9" t="s">
        <v>69</v>
      </c>
      <c r="E7" s="8"/>
      <c r="G7" s="91" t="s">
        <v>116</v>
      </c>
      <c r="H7" s="74" t="s">
        <v>14</v>
      </c>
      <c r="I7" s="67">
        <v>26</v>
      </c>
      <c r="J7" s="21"/>
      <c r="K7" s="21"/>
      <c r="L7" s="23"/>
      <c r="M7" s="2"/>
      <c r="N7" s="22"/>
      <c r="P7" s="78"/>
      <c r="Q7" s="78"/>
      <c r="R7" s="78"/>
      <c r="S7" s="78"/>
      <c r="T7" s="78"/>
    </row>
    <row r="8" spans="2:20" s="5" customFormat="1" ht="20.100000000000001" customHeight="1">
      <c r="B8" s="6" t="s">
        <v>17</v>
      </c>
      <c r="C8" s="9"/>
      <c r="D8" s="9" t="s">
        <v>69</v>
      </c>
      <c r="E8" s="8"/>
      <c r="G8" s="91"/>
      <c r="H8" s="74" t="s">
        <v>16</v>
      </c>
      <c r="I8" s="80"/>
      <c r="J8" s="21"/>
      <c r="K8" s="21"/>
      <c r="L8" s="23"/>
      <c r="M8" s="3"/>
      <c r="N8" s="65" t="s">
        <v>78</v>
      </c>
      <c r="P8" s="78"/>
      <c r="Q8" s="78"/>
      <c r="R8" s="78"/>
      <c r="S8" s="78"/>
      <c r="T8" s="78"/>
    </row>
    <row r="9" spans="2:20" s="5" customFormat="1" ht="20.100000000000001" customHeight="1">
      <c r="B9" s="85" t="s">
        <v>19</v>
      </c>
      <c r="C9" s="9"/>
      <c r="D9" s="9" t="s">
        <v>67</v>
      </c>
      <c r="E9" s="81"/>
      <c r="G9" s="91"/>
      <c r="H9" s="74" t="s">
        <v>17</v>
      </c>
      <c r="I9" s="80">
        <v>81</v>
      </c>
      <c r="J9" s="21"/>
      <c r="K9" s="21"/>
      <c r="L9" s="23"/>
      <c r="M9" s="2"/>
      <c r="N9" s="24"/>
      <c r="P9" s="78"/>
      <c r="Q9" s="78"/>
      <c r="R9" s="78"/>
      <c r="S9" s="78"/>
      <c r="T9" s="78"/>
    </row>
    <row r="10" spans="2:20" s="5" customFormat="1" ht="20.100000000000001" customHeight="1">
      <c r="B10" s="6" t="s">
        <v>62</v>
      </c>
      <c r="C10" s="9"/>
      <c r="D10" s="9" t="s">
        <v>67</v>
      </c>
      <c r="E10" s="62" t="s">
        <v>118</v>
      </c>
      <c r="G10" s="82"/>
      <c r="H10" s="44"/>
      <c r="I10" s="83"/>
      <c r="J10" s="84"/>
      <c r="K10" s="21"/>
      <c r="L10" s="23"/>
      <c r="M10" s="2"/>
      <c r="N10" s="24"/>
      <c r="P10" s="78"/>
      <c r="Q10" s="78"/>
      <c r="R10" s="78"/>
      <c r="S10" s="78"/>
      <c r="T10" s="78"/>
    </row>
    <row r="11" spans="2:20" s="5" customFormat="1" ht="20.100000000000001" customHeight="1">
      <c r="B11" s="50" t="s">
        <v>20</v>
      </c>
      <c r="C11" s="51"/>
      <c r="D11" s="51"/>
      <c r="E11" s="52" t="s">
        <v>21</v>
      </c>
      <c r="G11" s="91" t="s">
        <v>73</v>
      </c>
      <c r="H11" s="44" t="s">
        <v>24</v>
      </c>
      <c r="I11" s="45">
        <f ca="1">SUMIF('드롭다운(국외)'!$B$8:$C$10,'국외여비지급내역서(이한주 전임)'!B2,'드롭다운(국외)'!$C$8:$C$10)</f>
        <v>26</v>
      </c>
      <c r="J11" s="46"/>
      <c r="K11" s="21">
        <f ca="1">I11*J11</f>
        <v>0</v>
      </c>
      <c r="L11" s="23">
        <f ca="1">ROUNDDOWN(K11*$L$4,0)</f>
        <v>0</v>
      </c>
      <c r="M11" s="2"/>
      <c r="N11" s="24"/>
      <c r="P11" s="86"/>
      <c r="Q11" s="86"/>
      <c r="R11" s="86"/>
      <c r="S11" s="86"/>
      <c r="T11" s="86"/>
    </row>
    <row r="12" spans="2:20" s="5" customFormat="1" ht="20.100000000000001" customHeight="1">
      <c r="B12" s="47" t="s">
        <v>22</v>
      </c>
      <c r="C12" s="99" t="s">
        <v>122</v>
      </c>
      <c r="D12" s="100"/>
      <c r="E12" s="101"/>
      <c r="G12" s="91"/>
      <c r="H12" s="74" t="s">
        <v>19</v>
      </c>
      <c r="I12" s="20">
        <f>SUMIFS('드롭다운(국외)'!$F$8:$F$19,'드롭다운(국외)'!$E$8:$E$19,'국외여비지급내역서(이한주 전임)'!$B$2,'드롭다운(국외)'!$G$8:$G$19,G11)</f>
        <v>123</v>
      </c>
      <c r="J12" s="21"/>
      <c r="K12" s="21">
        <f t="shared" ref="K12:K19" si="0">I12*J12</f>
        <v>0</v>
      </c>
      <c r="L12" s="23">
        <f t="shared" ref="L12:L19" si="1">ROUNDDOWN(K12*$L$4,0)</f>
        <v>0</v>
      </c>
      <c r="M12" s="3"/>
      <c r="N12" s="65" t="s">
        <v>78</v>
      </c>
      <c r="P12" s="86"/>
      <c r="Q12" s="86"/>
      <c r="R12" s="86"/>
      <c r="S12" s="86"/>
      <c r="T12" s="86"/>
    </row>
    <row r="13" spans="2:20" s="5" customFormat="1" ht="20.100000000000001" customHeight="1">
      <c r="G13" s="91"/>
      <c r="H13" s="74" t="s">
        <v>17</v>
      </c>
      <c r="I13" s="20">
        <v>49</v>
      </c>
      <c r="J13" s="21"/>
      <c r="K13" s="21">
        <f t="shared" si="0"/>
        <v>0</v>
      </c>
      <c r="L13" s="23">
        <f t="shared" si="1"/>
        <v>0</v>
      </c>
      <c r="M13" s="2"/>
      <c r="N13" s="24"/>
      <c r="P13" s="86"/>
      <c r="Q13" s="86"/>
      <c r="R13" s="86"/>
      <c r="S13" s="86"/>
      <c r="T13" s="86"/>
    </row>
    <row r="14" spans="2:20" s="5" customFormat="1" ht="20.100000000000001" customHeight="1">
      <c r="E14" s="10"/>
      <c r="G14" s="89" t="s">
        <v>23</v>
      </c>
      <c r="H14" s="76" t="s">
        <v>24</v>
      </c>
      <c r="I14" s="20">
        <f ca="1">SUMIF('드롭다운(국외)'!$B$8:$C$10,'국외여비지급내역서(이한주 전임)'!B2,'드롭다운(국외)'!$C$8:$C$10)</f>
        <v>26</v>
      </c>
      <c r="J14" s="25"/>
      <c r="K14" s="21">
        <f t="shared" ca="1" si="0"/>
        <v>0</v>
      </c>
      <c r="L14" s="23">
        <f t="shared" ca="1" si="1"/>
        <v>0</v>
      </c>
      <c r="M14" s="2">
        <f t="shared" ref="M14:M19" ca="1" si="2">ROUNDDOWN(L14,-1)</f>
        <v>0</v>
      </c>
      <c r="N14" s="24"/>
    </row>
    <row r="15" spans="2:20" s="5" customFormat="1" ht="20.100000000000001" customHeight="1">
      <c r="B15" s="90" t="s">
        <v>25</v>
      </c>
      <c r="C15" s="90"/>
      <c r="D15" s="90"/>
      <c r="G15" s="89"/>
      <c r="H15" s="76" t="s">
        <v>19</v>
      </c>
      <c r="I15" s="20">
        <f>SUMIFS('드롭다운(국외)'!$F$8:$F$19,'드롭다운(국외)'!$E$8:$E$19,'국외여비지급내역서(이한주 전임)'!$B$2,'드롭다운(국외)'!$G$8:$G$19,G14)</f>
        <v>90</v>
      </c>
      <c r="J15" s="25"/>
      <c r="K15" s="21">
        <f t="shared" si="0"/>
        <v>0</v>
      </c>
      <c r="L15" s="23">
        <f t="shared" si="1"/>
        <v>0</v>
      </c>
      <c r="M15" s="3">
        <f t="shared" si="2"/>
        <v>0</v>
      </c>
      <c r="N15" s="65" t="s">
        <v>78</v>
      </c>
    </row>
    <row r="16" spans="2:20" s="5" customFormat="1" ht="20.100000000000001" customHeight="1">
      <c r="G16" s="89"/>
      <c r="H16" s="76" t="s">
        <v>17</v>
      </c>
      <c r="I16" s="20">
        <f>SUMIFS('드롭다운(국외)'!$J$8:$J$19,'드롭다운(국외)'!$I$8:$I$19,'국외여비지급내역서(이한주 전임)'!$B$2,'드롭다운(국외)'!K8:K19,'국외여비지급내역서(이한주 전임)'!G14)</f>
        <v>37</v>
      </c>
      <c r="J16" s="25"/>
      <c r="K16" s="21">
        <f t="shared" si="0"/>
        <v>0</v>
      </c>
      <c r="L16" s="23">
        <f t="shared" si="1"/>
        <v>0</v>
      </c>
      <c r="M16" s="2">
        <f t="shared" si="2"/>
        <v>0</v>
      </c>
      <c r="N16" s="24"/>
    </row>
    <row r="17" spans="2:19" s="5" customFormat="1" ht="20.100000000000001" customHeight="1">
      <c r="B17" s="49" t="s">
        <v>5</v>
      </c>
      <c r="C17" s="49" t="s">
        <v>6</v>
      </c>
      <c r="D17" s="92" t="s">
        <v>27</v>
      </c>
      <c r="E17" s="93"/>
      <c r="G17" s="91" t="s">
        <v>26</v>
      </c>
      <c r="H17" s="74" t="s">
        <v>24</v>
      </c>
      <c r="I17" s="20">
        <f ca="1">SUMIF('드롭다운(국외)'!$B$8:$C$10,'국외여비지급내역서(이한주 전임)'!B2,'드롭다운(국외)'!$C$8:$C$10)</f>
        <v>26</v>
      </c>
      <c r="J17" s="21"/>
      <c r="K17" s="21">
        <f t="shared" ca="1" si="0"/>
        <v>0</v>
      </c>
      <c r="L17" s="23">
        <f t="shared" ca="1" si="1"/>
        <v>0</v>
      </c>
      <c r="M17" s="2">
        <f t="shared" ca="1" si="2"/>
        <v>0</v>
      </c>
      <c r="N17" s="24"/>
    </row>
    <row r="18" spans="2:19" s="5" customFormat="1" ht="20.100000000000001" customHeight="1">
      <c r="B18" s="11" t="s">
        <v>71</v>
      </c>
      <c r="C18" s="12">
        <f>SUMIF(D6:D10,$B$18,C6:C10)</f>
        <v>0</v>
      </c>
      <c r="D18" s="94"/>
      <c r="E18" s="95"/>
      <c r="G18" s="91"/>
      <c r="H18" s="74" t="s">
        <v>19</v>
      </c>
      <c r="I18" s="20">
        <f>SUMIFS('드롭다운(국외)'!$F$8:$F$19,'드롭다운(국외)'!$E$8:$E$19,'국외여비지급내역서(이한주 전임)'!$B$2,'드롭다운(국외)'!$G$8:$G$19,G17)</f>
        <v>77</v>
      </c>
      <c r="J18" s="21"/>
      <c r="K18" s="21">
        <f t="shared" si="0"/>
        <v>0</v>
      </c>
      <c r="L18" s="23">
        <f t="shared" si="1"/>
        <v>0</v>
      </c>
      <c r="M18" s="3">
        <f t="shared" si="2"/>
        <v>0</v>
      </c>
      <c r="N18" s="65" t="s">
        <v>78</v>
      </c>
    </row>
    <row r="19" spans="2:19" s="5" customFormat="1" ht="20.100000000000001" customHeight="1">
      <c r="B19" s="13" t="s">
        <v>72</v>
      </c>
      <c r="C19" s="14">
        <f>SUMIF(D6:D10,$B$19,C6:C10)</f>
        <v>0</v>
      </c>
      <c r="D19" s="96"/>
      <c r="E19" s="97"/>
      <c r="G19" s="91"/>
      <c r="H19" s="74" t="s">
        <v>17</v>
      </c>
      <c r="I19" s="20">
        <f>SUMIFS('드롭다운(국외)'!$J$8:$J$19,'드롭다운(국외)'!$I$8:$I$19,'국외여비지급내역서(이한주 전임)'!$B$2,'드롭다운(국외)'!K8:K19,'국외여비지급내역서(이한주 전임)'!G17)</f>
        <v>30</v>
      </c>
      <c r="J19" s="21"/>
      <c r="K19" s="21">
        <f t="shared" si="0"/>
        <v>0</v>
      </c>
      <c r="L19" s="23">
        <f t="shared" si="1"/>
        <v>0</v>
      </c>
      <c r="M19" s="2">
        <f t="shared" si="2"/>
        <v>0</v>
      </c>
      <c r="N19" s="24"/>
      <c r="S19" s="26"/>
    </row>
    <row r="20" spans="2:19" s="5" customFormat="1" ht="20.100000000000001" customHeight="1">
      <c r="B20" s="49" t="s">
        <v>29</v>
      </c>
      <c r="C20" s="75">
        <f>SUM(C18:C19)</f>
        <v>0</v>
      </c>
      <c r="D20" s="87"/>
      <c r="E20" s="87"/>
      <c r="G20" s="98" t="s">
        <v>28</v>
      </c>
      <c r="H20" s="98"/>
      <c r="I20" s="27"/>
      <c r="J20" s="27"/>
      <c r="K20" s="27"/>
      <c r="L20" s="28">
        <f ca="1">SUM(L7:L19)</f>
        <v>0</v>
      </c>
      <c r="M20" s="29">
        <f ca="1">SUM(M7:M19)</f>
        <v>0</v>
      </c>
      <c r="N20" s="24"/>
      <c r="S20" s="26"/>
    </row>
    <row r="21" spans="2:19" s="5" customFormat="1" ht="20.100000000000001" customHeight="1">
      <c r="B21" s="18"/>
      <c r="C21" s="18"/>
      <c r="D21" s="18"/>
      <c r="E21" s="18"/>
      <c r="G21" s="18"/>
      <c r="H21" s="18"/>
      <c r="I21" s="18"/>
      <c r="J21" s="18"/>
      <c r="K21" s="18"/>
      <c r="L21" s="18"/>
      <c r="M21" s="18"/>
      <c r="N21" s="24"/>
      <c r="S21" s="26"/>
    </row>
    <row r="22" spans="2:19" s="5" customFormat="1" ht="20.100000000000001" customHeight="1">
      <c r="B22" s="18"/>
      <c r="C22" s="18"/>
      <c r="D22" s="18"/>
      <c r="E22" s="18"/>
      <c r="G22" s="18"/>
      <c r="H22" s="18"/>
      <c r="I22" s="18"/>
      <c r="J22" s="18"/>
      <c r="K22" s="18"/>
      <c r="L22" s="18"/>
      <c r="M22" s="18"/>
      <c r="N22" s="24"/>
    </row>
    <row r="23" spans="2:19" s="5" customFormat="1" ht="20.100000000000001" customHeight="1">
      <c r="G23" s="18"/>
      <c r="H23" s="18"/>
      <c r="I23" s="18"/>
      <c r="J23" s="18"/>
      <c r="K23" s="18"/>
      <c r="L23" s="18"/>
      <c r="M23" s="1"/>
      <c r="N23" s="18"/>
    </row>
    <row r="24" spans="2:19" s="5" customFormat="1" ht="20.100000000000001" customHeight="1" thickBot="1">
      <c r="G24" s="88" t="s">
        <v>30</v>
      </c>
      <c r="H24" s="88"/>
      <c r="I24" s="88"/>
      <c r="J24" s="18"/>
      <c r="K24" s="18"/>
      <c r="L24" s="18"/>
      <c r="M24" s="18"/>
      <c r="N24" s="18"/>
    </row>
    <row r="25" spans="2:19" s="5" customFormat="1" ht="20.100000000000001" customHeight="1">
      <c r="G25" s="30" t="s">
        <v>9</v>
      </c>
      <c r="H25" s="31" t="s">
        <v>31</v>
      </c>
      <c r="I25" s="31" t="s">
        <v>32</v>
      </c>
      <c r="J25" s="32" t="s">
        <v>33</v>
      </c>
      <c r="K25" s="18"/>
      <c r="L25" s="33" t="s">
        <v>79</v>
      </c>
      <c r="M25" s="18"/>
      <c r="N25" s="18"/>
    </row>
    <row r="26" spans="2:19" s="5" customFormat="1" ht="20.100000000000001" customHeight="1">
      <c r="G26" s="34" t="s">
        <v>116</v>
      </c>
      <c r="H26" s="35"/>
      <c r="I26" s="35"/>
      <c r="J26" s="36"/>
      <c r="K26" s="5" t="str">
        <f>IF(I26&gt;H26,"초과","미초과")</f>
        <v>미초과</v>
      </c>
      <c r="L26" s="37">
        <f>I26</f>
        <v>0</v>
      </c>
    </row>
    <row r="27" spans="2:19" s="5" customFormat="1" ht="20.100000000000001" customHeight="1">
      <c r="G27" s="34" t="s">
        <v>34</v>
      </c>
      <c r="H27" s="35"/>
      <c r="I27" s="35"/>
      <c r="J27" s="36">
        <f t="shared" ref="J27:J29" si="3">H27-I27</f>
        <v>0</v>
      </c>
      <c r="K27" s="5" t="str">
        <f t="shared" ref="K27:K29" si="4">IF(I27&gt;H27,"초과","미초과")</f>
        <v>미초과</v>
      </c>
      <c r="L27" s="35"/>
    </row>
    <row r="28" spans="2:19" s="5" customFormat="1" ht="20.100000000000001" customHeight="1">
      <c r="G28" s="34" t="s">
        <v>23</v>
      </c>
      <c r="H28" s="35">
        <f>M15</f>
        <v>0</v>
      </c>
      <c r="I28" s="35"/>
      <c r="J28" s="36">
        <f t="shared" si="3"/>
        <v>0</v>
      </c>
      <c r="K28" s="5" t="str">
        <f t="shared" si="4"/>
        <v>미초과</v>
      </c>
      <c r="L28" s="38"/>
    </row>
    <row r="29" spans="2:19" s="5" customFormat="1" ht="20.100000000000001" customHeight="1" thickBot="1">
      <c r="G29" s="39" t="s">
        <v>35</v>
      </c>
      <c r="H29" s="40">
        <f>M18</f>
        <v>0</v>
      </c>
      <c r="I29" s="40"/>
      <c r="J29" s="41">
        <f t="shared" si="3"/>
        <v>0</v>
      </c>
      <c r="K29" s="5" t="str">
        <f t="shared" si="4"/>
        <v>미초과</v>
      </c>
      <c r="L29" s="42"/>
    </row>
    <row r="30" spans="2:19" s="5" customFormat="1" ht="19.2"/>
    <row r="31" spans="2:19" s="5" customFormat="1" ht="19.2">
      <c r="B31" s="4"/>
      <c r="C31" s="4"/>
      <c r="D31" s="4"/>
      <c r="E31" s="4"/>
    </row>
    <row r="32" spans="2:19" s="5" customFormat="1" ht="19.2">
      <c r="B32" s="4"/>
      <c r="C32" s="4"/>
      <c r="D32" s="4"/>
      <c r="E32" s="4"/>
    </row>
  </sheetData>
  <mergeCells count="16">
    <mergeCell ref="B1:M1"/>
    <mergeCell ref="B3:D3"/>
    <mergeCell ref="I3:J3"/>
    <mergeCell ref="G7:G9"/>
    <mergeCell ref="G11:G13"/>
    <mergeCell ref="P11:T13"/>
    <mergeCell ref="D20:E20"/>
    <mergeCell ref="G24:I24"/>
    <mergeCell ref="G14:G16"/>
    <mergeCell ref="B15:D15"/>
    <mergeCell ref="G17:G19"/>
    <mergeCell ref="D17:E17"/>
    <mergeCell ref="D18:E18"/>
    <mergeCell ref="D19:E19"/>
    <mergeCell ref="G20:H20"/>
    <mergeCell ref="C12:E12"/>
  </mergeCells>
  <phoneticPr fontId="3" type="noConversion"/>
  <hyperlinks>
    <hyperlink ref="K3" r:id="rId1" display="https://www.kebhana.com/cont/mall/mall15/mall1501/index.jsp"/>
  </hyperlinks>
  <pageMargins left="0.7" right="0.7" top="0.75" bottom="0.75" header="0.3" footer="0.3"/>
  <pageSetup paperSize="9" orientation="portrait" verticalDpi="0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'드롭다운(국외)'!$B$3:$B$5</xm:f>
          </x14:formula1>
          <xm:sqref>B2</xm:sqref>
        </x14:dataValidation>
        <x14:dataValidation type="list" allowBlank="1" showInputMessage="1" showErrorMessage="1">
          <x14:formula1>
            <xm:f>'드롭다운(국외)'!$D$3:$D$4</xm:f>
          </x14:formula1>
          <xm:sqref>D6:D10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0"/>
  <sheetViews>
    <sheetView topLeftCell="A13" zoomScale="80" zoomScaleNormal="80" workbookViewId="0">
      <selection activeCell="E33" sqref="E33"/>
    </sheetView>
  </sheetViews>
  <sheetFormatPr defaultColWidth="8.8984375" defaultRowHeight="19.2"/>
  <cols>
    <col min="1" max="1" width="8.8984375" style="15"/>
    <col min="2" max="2" width="23.3984375" style="15" customWidth="1"/>
    <col min="3" max="3" width="8.8984375" style="15"/>
    <col min="4" max="4" width="18.3984375" style="15" bestFit="1" customWidth="1"/>
    <col min="5" max="5" width="19.3984375" style="15" customWidth="1"/>
    <col min="6" max="6" width="16.796875" style="15" bestFit="1" customWidth="1"/>
    <col min="7" max="8" width="8.8984375" style="15"/>
    <col min="9" max="9" width="20.59765625" style="15" bestFit="1" customWidth="1"/>
    <col min="10" max="10" width="8.8984375" style="15"/>
    <col min="11" max="11" width="8.8984375" style="15" customWidth="1"/>
    <col min="12" max="12" width="8.8984375" style="15"/>
    <col min="13" max="13" width="97.69921875" style="15" customWidth="1"/>
    <col min="14" max="16384" width="8.8984375" style="15"/>
  </cols>
  <sheetData>
    <row r="2" spans="2:11">
      <c r="B2" s="61" t="s">
        <v>65</v>
      </c>
      <c r="D2" s="61" t="s">
        <v>66</v>
      </c>
    </row>
    <row r="3" spans="2:11">
      <c r="B3" s="16" t="s">
        <v>59</v>
      </c>
      <c r="D3" s="16" t="s">
        <v>68</v>
      </c>
    </row>
    <row r="4" spans="2:11">
      <c r="B4" s="16" t="s">
        <v>60</v>
      </c>
      <c r="D4" s="16" t="s">
        <v>70</v>
      </c>
    </row>
    <row r="5" spans="2:11">
      <c r="B5" s="16" t="s">
        <v>64</v>
      </c>
    </row>
    <row r="7" spans="2:11">
      <c r="B7" s="61" t="s">
        <v>65</v>
      </c>
      <c r="C7" s="61" t="s">
        <v>80</v>
      </c>
      <c r="E7" s="61" t="s">
        <v>65</v>
      </c>
      <c r="F7" s="61" t="s">
        <v>83</v>
      </c>
      <c r="G7" s="61" t="s">
        <v>84</v>
      </c>
      <c r="I7" s="61" t="s">
        <v>65</v>
      </c>
      <c r="J7" s="61" t="s">
        <v>94</v>
      </c>
      <c r="K7" s="61" t="s">
        <v>95</v>
      </c>
    </row>
    <row r="8" spans="2:11">
      <c r="B8" s="16" t="s">
        <v>81</v>
      </c>
      <c r="C8" s="67">
        <v>40</v>
      </c>
      <c r="E8" s="16" t="s">
        <v>85</v>
      </c>
      <c r="F8" s="16">
        <v>282</v>
      </c>
      <c r="G8" s="16" t="s">
        <v>87</v>
      </c>
      <c r="I8" s="16" t="s">
        <v>85</v>
      </c>
      <c r="J8" s="16">
        <v>133</v>
      </c>
      <c r="K8" s="16" t="s">
        <v>87</v>
      </c>
    </row>
    <row r="9" spans="2:11">
      <c r="B9" s="16" t="s">
        <v>82</v>
      </c>
      <c r="C9" s="67">
        <v>30</v>
      </c>
      <c r="E9" s="16" t="s">
        <v>85</v>
      </c>
      <c r="F9" s="16">
        <v>207</v>
      </c>
      <c r="G9" s="16" t="s">
        <v>88</v>
      </c>
      <c r="I9" s="16" t="s">
        <v>85</v>
      </c>
      <c r="J9" s="16">
        <v>99</v>
      </c>
      <c r="K9" s="16" t="s">
        <v>88</v>
      </c>
    </row>
    <row r="10" spans="2:11">
      <c r="B10" s="16" t="s">
        <v>64</v>
      </c>
      <c r="C10" s="67">
        <v>26</v>
      </c>
      <c r="E10" s="16" t="s">
        <v>85</v>
      </c>
      <c r="F10" s="16">
        <v>162</v>
      </c>
      <c r="G10" s="16" t="s">
        <v>89</v>
      </c>
      <c r="I10" s="16" t="s">
        <v>85</v>
      </c>
      <c r="J10" s="16">
        <v>72</v>
      </c>
      <c r="K10" s="16" t="s">
        <v>89</v>
      </c>
    </row>
    <row r="11" spans="2:11">
      <c r="E11" s="16" t="s">
        <v>85</v>
      </c>
      <c r="F11" s="16">
        <v>108</v>
      </c>
      <c r="G11" s="16" t="s">
        <v>90</v>
      </c>
      <c r="I11" s="16" t="s">
        <v>85</v>
      </c>
      <c r="J11" s="16">
        <v>61</v>
      </c>
      <c r="K11" s="16" t="s">
        <v>90</v>
      </c>
    </row>
    <row r="12" spans="2:11">
      <c r="E12" s="16" t="s">
        <v>60</v>
      </c>
      <c r="F12" s="16">
        <v>176</v>
      </c>
      <c r="G12" s="16" t="s">
        <v>91</v>
      </c>
      <c r="I12" s="16" t="s">
        <v>60</v>
      </c>
      <c r="J12" s="16">
        <v>81</v>
      </c>
      <c r="K12" s="16" t="s">
        <v>91</v>
      </c>
    </row>
    <row r="13" spans="2:11">
      <c r="E13" s="16" t="s">
        <v>82</v>
      </c>
      <c r="F13" s="16">
        <v>137</v>
      </c>
      <c r="G13" s="16" t="s">
        <v>88</v>
      </c>
      <c r="I13" s="16" t="s">
        <v>82</v>
      </c>
      <c r="J13" s="16">
        <v>59</v>
      </c>
      <c r="K13" s="16" t="s">
        <v>88</v>
      </c>
    </row>
    <row r="14" spans="2:11">
      <c r="E14" s="16" t="s">
        <v>60</v>
      </c>
      <c r="F14" s="16">
        <v>106</v>
      </c>
      <c r="G14" s="16" t="s">
        <v>89</v>
      </c>
      <c r="I14" s="16" t="s">
        <v>60</v>
      </c>
      <c r="J14" s="16">
        <v>44</v>
      </c>
      <c r="K14" s="16" t="s">
        <v>89</v>
      </c>
    </row>
    <row r="15" spans="2:11">
      <c r="E15" s="16" t="s">
        <v>82</v>
      </c>
      <c r="F15" s="16">
        <v>81</v>
      </c>
      <c r="G15" s="16" t="s">
        <v>90</v>
      </c>
      <c r="I15" s="16" t="s">
        <v>82</v>
      </c>
      <c r="J15" s="16">
        <v>37</v>
      </c>
      <c r="K15" s="16" t="s">
        <v>90</v>
      </c>
    </row>
    <row r="16" spans="2:11">
      <c r="E16" s="16" t="s">
        <v>86</v>
      </c>
      <c r="F16" s="16">
        <v>155</v>
      </c>
      <c r="G16" s="16" t="s">
        <v>91</v>
      </c>
      <c r="I16" s="16" t="s">
        <v>86</v>
      </c>
      <c r="J16" s="16">
        <v>67</v>
      </c>
      <c r="K16" s="16" t="s">
        <v>91</v>
      </c>
    </row>
    <row r="17" spans="2:13">
      <c r="E17" s="16" t="s">
        <v>64</v>
      </c>
      <c r="F17" s="16">
        <v>123</v>
      </c>
      <c r="G17" s="16" t="s">
        <v>92</v>
      </c>
      <c r="I17" s="16" t="s">
        <v>64</v>
      </c>
      <c r="J17" s="16">
        <v>49</v>
      </c>
      <c r="K17" s="16" t="s">
        <v>92</v>
      </c>
    </row>
    <row r="18" spans="2:13">
      <c r="E18" s="16" t="s">
        <v>86</v>
      </c>
      <c r="F18" s="16">
        <v>90</v>
      </c>
      <c r="G18" s="16" t="s">
        <v>93</v>
      </c>
      <c r="I18" s="16" t="s">
        <v>86</v>
      </c>
      <c r="J18" s="16">
        <v>37</v>
      </c>
      <c r="K18" s="16" t="s">
        <v>93</v>
      </c>
    </row>
    <row r="19" spans="2:13">
      <c r="E19" s="16" t="s">
        <v>64</v>
      </c>
      <c r="F19" s="16">
        <v>77</v>
      </c>
      <c r="G19" s="16" t="s">
        <v>90</v>
      </c>
      <c r="I19" s="16" t="s">
        <v>64</v>
      </c>
      <c r="J19" s="16">
        <v>30</v>
      </c>
      <c r="K19" s="16" t="s">
        <v>90</v>
      </c>
    </row>
    <row r="23" spans="2:13" ht="19.8" thickBot="1">
      <c r="B23" s="61" t="s">
        <v>97</v>
      </c>
      <c r="G23" s="104" t="s">
        <v>96</v>
      </c>
      <c r="H23" s="104"/>
      <c r="L23" s="73" t="s">
        <v>114</v>
      </c>
      <c r="M23" s="73"/>
    </row>
    <row r="24" spans="2:13" ht="20.399999999999999" thickTop="1" thickBot="1">
      <c r="B24" s="55" t="s">
        <v>5</v>
      </c>
      <c r="C24" s="56" t="s">
        <v>37</v>
      </c>
      <c r="D24" s="56" t="s">
        <v>13</v>
      </c>
      <c r="E24" s="56" t="s">
        <v>15</v>
      </c>
      <c r="F24" s="56" t="s">
        <v>38</v>
      </c>
      <c r="G24" s="56" t="s">
        <v>39</v>
      </c>
      <c r="H24" s="57" t="s">
        <v>0</v>
      </c>
      <c r="L24" s="53" t="s">
        <v>37</v>
      </c>
      <c r="M24" s="54" t="s">
        <v>98</v>
      </c>
    </row>
    <row r="25" spans="2:13" ht="19.8" thickTop="1">
      <c r="B25" s="116" t="s">
        <v>1</v>
      </c>
      <c r="C25" s="58" t="s">
        <v>40</v>
      </c>
      <c r="D25" s="118">
        <v>40</v>
      </c>
      <c r="E25" s="58" t="s">
        <v>41</v>
      </c>
      <c r="F25" s="58">
        <v>133</v>
      </c>
      <c r="G25" s="118" t="s">
        <v>2</v>
      </c>
      <c r="H25" s="122" t="s">
        <v>42</v>
      </c>
      <c r="L25" s="111" t="s">
        <v>40</v>
      </c>
      <c r="M25" s="68" t="s">
        <v>99</v>
      </c>
    </row>
    <row r="26" spans="2:13">
      <c r="B26" s="109"/>
      <c r="C26" s="59" t="s">
        <v>43</v>
      </c>
      <c r="D26" s="119"/>
      <c r="E26" s="59" t="s">
        <v>44</v>
      </c>
      <c r="F26" s="59">
        <v>99</v>
      </c>
      <c r="G26" s="119"/>
      <c r="H26" s="123"/>
      <c r="L26" s="112"/>
      <c r="M26" s="69" t="s">
        <v>100</v>
      </c>
    </row>
    <row r="27" spans="2:13">
      <c r="B27" s="109"/>
      <c r="C27" s="59" t="s">
        <v>45</v>
      </c>
      <c r="D27" s="119"/>
      <c r="E27" s="59" t="s">
        <v>46</v>
      </c>
      <c r="F27" s="59">
        <v>72</v>
      </c>
      <c r="G27" s="119"/>
      <c r="H27" s="123"/>
      <c r="L27" s="113" t="s">
        <v>43</v>
      </c>
      <c r="M27" s="70" t="s">
        <v>101</v>
      </c>
    </row>
    <row r="28" spans="2:13" ht="34.799999999999997">
      <c r="B28" s="117"/>
      <c r="C28" s="59" t="s">
        <v>47</v>
      </c>
      <c r="D28" s="120"/>
      <c r="E28" s="59" t="s">
        <v>48</v>
      </c>
      <c r="F28" s="59">
        <v>61</v>
      </c>
      <c r="G28" s="119"/>
      <c r="H28" s="124"/>
      <c r="L28" s="114"/>
      <c r="M28" s="71" t="s">
        <v>102</v>
      </c>
    </row>
    <row r="29" spans="2:13" ht="34.799999999999997">
      <c r="B29" s="108" t="s">
        <v>49</v>
      </c>
      <c r="C29" s="59" t="s">
        <v>40</v>
      </c>
      <c r="D29" s="125">
        <v>30</v>
      </c>
      <c r="E29" s="59" t="s">
        <v>50</v>
      </c>
      <c r="F29" s="59">
        <v>81</v>
      </c>
      <c r="G29" s="119"/>
      <c r="H29" s="126" t="s">
        <v>51</v>
      </c>
      <c r="L29" s="114"/>
      <c r="M29" s="71" t="s">
        <v>103</v>
      </c>
    </row>
    <row r="30" spans="2:13" ht="34.799999999999997">
      <c r="B30" s="109"/>
      <c r="C30" s="59" t="s">
        <v>43</v>
      </c>
      <c r="D30" s="119"/>
      <c r="E30" s="59" t="s">
        <v>52</v>
      </c>
      <c r="F30" s="59">
        <v>59</v>
      </c>
      <c r="G30" s="119"/>
      <c r="H30" s="123"/>
      <c r="L30" s="112"/>
      <c r="M30" s="69" t="s">
        <v>104</v>
      </c>
    </row>
    <row r="31" spans="2:13" ht="34.799999999999997">
      <c r="B31" s="109"/>
      <c r="C31" s="59" t="s">
        <v>45</v>
      </c>
      <c r="D31" s="119"/>
      <c r="E31" s="59" t="s">
        <v>53</v>
      </c>
      <c r="F31" s="59">
        <v>44</v>
      </c>
      <c r="G31" s="119"/>
      <c r="H31" s="123"/>
      <c r="L31" s="113" t="s">
        <v>45</v>
      </c>
      <c r="M31" s="70" t="s">
        <v>105</v>
      </c>
    </row>
    <row r="32" spans="2:13" ht="34.799999999999997">
      <c r="B32" s="117"/>
      <c r="C32" s="59" t="s">
        <v>47</v>
      </c>
      <c r="D32" s="120"/>
      <c r="E32" s="59" t="s">
        <v>54</v>
      </c>
      <c r="F32" s="59">
        <v>37</v>
      </c>
      <c r="G32" s="119"/>
      <c r="H32" s="123"/>
      <c r="L32" s="114"/>
      <c r="M32" s="71" t="s">
        <v>106</v>
      </c>
    </row>
    <row r="33" spans="2:13" ht="34.799999999999997">
      <c r="B33" s="108" t="s">
        <v>64</v>
      </c>
      <c r="C33" s="59" t="s">
        <v>40</v>
      </c>
      <c r="D33" s="125">
        <v>26</v>
      </c>
      <c r="E33" s="59" t="s">
        <v>55</v>
      </c>
      <c r="F33" s="59">
        <v>67</v>
      </c>
      <c r="G33" s="119"/>
      <c r="H33" s="123"/>
      <c r="L33" s="114"/>
      <c r="M33" s="71" t="s">
        <v>107</v>
      </c>
    </row>
    <row r="34" spans="2:13" ht="52.2">
      <c r="B34" s="109"/>
      <c r="C34" s="59" t="s">
        <v>43</v>
      </c>
      <c r="D34" s="119"/>
      <c r="E34" s="59" t="s">
        <v>56</v>
      </c>
      <c r="F34" s="59">
        <v>49</v>
      </c>
      <c r="G34" s="119"/>
      <c r="H34" s="123"/>
      <c r="L34" s="112"/>
      <c r="M34" s="69" t="s">
        <v>108</v>
      </c>
    </row>
    <row r="35" spans="2:13" ht="34.799999999999997">
      <c r="B35" s="109"/>
      <c r="C35" s="59" t="s">
        <v>45</v>
      </c>
      <c r="D35" s="119"/>
      <c r="E35" s="59" t="s">
        <v>57</v>
      </c>
      <c r="F35" s="59">
        <v>37</v>
      </c>
      <c r="G35" s="119"/>
      <c r="H35" s="123"/>
      <c r="L35" s="113" t="s">
        <v>47</v>
      </c>
      <c r="M35" s="70" t="s">
        <v>109</v>
      </c>
    </row>
    <row r="36" spans="2:13" ht="19.8" thickBot="1">
      <c r="B36" s="110"/>
      <c r="C36" s="60" t="s">
        <v>47</v>
      </c>
      <c r="D36" s="121"/>
      <c r="E36" s="60" t="s">
        <v>58</v>
      </c>
      <c r="F36" s="60">
        <v>30</v>
      </c>
      <c r="G36" s="121"/>
      <c r="H36" s="127"/>
      <c r="L36" s="114"/>
      <c r="M36" s="71" t="s">
        <v>110</v>
      </c>
    </row>
    <row r="37" spans="2:13" ht="19.8" thickTop="1">
      <c r="L37" s="114"/>
      <c r="M37" s="71" t="s">
        <v>111</v>
      </c>
    </row>
    <row r="38" spans="2:13" ht="36" customHeight="1" thickBot="1">
      <c r="L38" s="115"/>
      <c r="M38" s="72" t="s">
        <v>112</v>
      </c>
    </row>
    <row r="39" spans="2:13" ht="19.8" thickTop="1">
      <c r="L39" s="105" t="s">
        <v>113</v>
      </c>
      <c r="M39" s="106"/>
    </row>
    <row r="40" spans="2:13">
      <c r="L40" s="107"/>
      <c r="M40" s="107"/>
    </row>
  </sheetData>
  <mergeCells count="15">
    <mergeCell ref="G23:H23"/>
    <mergeCell ref="L39:M40"/>
    <mergeCell ref="B33:B36"/>
    <mergeCell ref="L25:L26"/>
    <mergeCell ref="L27:L30"/>
    <mergeCell ref="L31:L34"/>
    <mergeCell ref="L35:L38"/>
    <mergeCell ref="B25:B28"/>
    <mergeCell ref="D25:D28"/>
    <mergeCell ref="G25:G36"/>
    <mergeCell ref="H25:H28"/>
    <mergeCell ref="B29:B32"/>
    <mergeCell ref="D29:D32"/>
    <mergeCell ref="H29:H36"/>
    <mergeCell ref="D33:D36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국외여비지급내역서(이한주 전임)</vt:lpstr>
      <vt:lpstr>드롭다운(국외)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ccei</cp:lastModifiedBy>
  <cp:revision>370</cp:revision>
  <cp:lastPrinted>2023-05-03T00:00:37Z</cp:lastPrinted>
  <dcterms:created xsi:type="dcterms:W3CDTF">2016-05-18T01:04:05Z</dcterms:created>
  <dcterms:modified xsi:type="dcterms:W3CDTF">2026-08-21T09:01:48Z</dcterms:modified>
</cp:coreProperties>
</file>